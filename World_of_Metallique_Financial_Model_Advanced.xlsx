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jections" sheetId="1" r:id="rId1"/>
    <sheet name="Data Room Instructions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<sst xmlns="http://schemas.openxmlformats.org/spreadsheetml/2006/main" count="22" uniqueCount="22">
  <si>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Year</t>
  </si>
  <si>
    <t>Revenue (TND)</t>
  </si>
  <si>
    <t>Expenses (TND)</t>
  </si>
  <si>
    <t>Profit (TND)</t>
  </si>
  <si>
    <t>Cumulative Cash Flow (TND)</t>
  </si>
  <si>
    <t>Discount Factor</t>
  </si>
  <si>
    <t>NPV Contribution (TND)</t>
  </si>
  <si>
    <t>NPV</t>
  </si>
  <si>
    <t>IRR</t>
  </si>
  <si>
    <t>Estimated Company Valuation</t>
  </si>
  <si>
    <t>Data Room for Investors</t>
  </si>
  <si>
    <t>Include:</t>
  </si>
  <si>
    <t>- Corporate Structure Overview</t>
  </si>
  <si>
    <t>- Financial Model (this Excel)</t>
  </si>
  <si>
    <t>- Pitch Deck (PPTX)</t>
  </si>
  <si>
    <t>- Investment Memorandum (PDF)</t>
  </si>
  <si>
    <t>- Legal Documents &amp; Contracts</t>
  </si>
  <si>
    <t>- Market Research &amp; Competitive Analysis</t>
  </si>
  <si>
    <t>- Operational Workflow Diagrams</t>
  </si>
  <si>
    <t>- ROI / NPV / IRR Analysis</t>
  </si>
  <si>
    <t>- Forecasted 3-5 Years Projections</t>
  </si>
  <si>
    <t>- Contact for Due Diligence</t>
  </si>
</sst>
</file>

<file path=xl/styles.xml><?xml version="1.0" encoding="utf-8"?>
<styleSheet xmlns="http://schemas.openxmlformats.org/spreadsheetml/2006/main">
  <numFmts count="2">
    <numFmt numFmtId="164" formatCode="#,##0 TND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250000</v>
      </c>
      <c r="C2" s="2">
        <v>195000</v>
      </c>
      <c r="D2" s="2">
        <v>55000</v>
      </c>
      <c r="E2" s="2">
        <v>55000</v>
      </c>
      <c r="F2" s="3">
        <v>0.8928571428571428</v>
      </c>
      <c r="G2" s="2">
        <v>49107.14285714286</v>
      </c>
    </row>
    <row r="3" spans="1:7">
      <c r="A3">
        <v>2</v>
      </c>
      <c r="B3" s="2">
        <v>380000</v>
      </c>
      <c r="C3" s="2">
        <v>295000</v>
      </c>
      <c r="D3" s="2">
        <v>85000</v>
      </c>
      <c r="E3" s="2">
        <v>140000</v>
      </c>
      <c r="F3" s="3">
        <v>0.7971938775510203</v>
      </c>
      <c r="G3" s="2">
        <v>67761.47959183673</v>
      </c>
    </row>
    <row r="4" spans="1:7">
      <c r="A4">
        <v>3</v>
      </c>
      <c r="B4" s="2">
        <v>550000</v>
      </c>
      <c r="C4" s="2">
        <v>430000</v>
      </c>
      <c r="D4" s="2">
        <v>120000</v>
      </c>
      <c r="E4" s="2">
        <v>260000</v>
      </c>
      <c r="F4" s="3">
        <v>0.7117802478134109</v>
      </c>
      <c r="G4" s="2">
        <v>85413.6297376093</v>
      </c>
    </row>
    <row r="5" spans="1:7">
      <c r="A5">
        <v>4</v>
      </c>
      <c r="B5" s="2">
        <v>780000</v>
      </c>
      <c r="C5" s="2">
        <v>610000</v>
      </c>
      <c r="D5" s="2">
        <v>170000</v>
      </c>
      <c r="E5" s="2">
        <v>430000</v>
      </c>
      <c r="F5" s="3">
        <v>0.6355180784048311</v>
      </c>
      <c r="G5" s="2">
        <v>108038.0733288213</v>
      </c>
    </row>
    <row r="6" spans="1:7">
      <c r="A6">
        <v>5</v>
      </c>
      <c r="B6" s="2">
        <v>1050000</v>
      </c>
      <c r="C6" s="2">
        <v>820000</v>
      </c>
      <c r="D6" s="2">
        <v>230000</v>
      </c>
      <c r="E6" s="2">
        <v>660000</v>
      </c>
      <c r="F6" s="3">
        <v>0.5674268557185992</v>
      </c>
      <c r="G6" s="2">
        <v>130508.1768152778</v>
      </c>
    </row>
    <row r="8" spans="1:7">
      <c r="A8" s="1" t="s">
        <v>7</v>
      </c>
      <c r="G8" s="2">
        <f>NPV(0.12, D2:D6)</f>
        <v>0</v>
      </c>
    </row>
    <row r="9" spans="1:7">
      <c r="A9" s="1" t="s">
        <v>8</v>
      </c>
      <c r="G9" s="3">
        <f>IRR(D2:D6)</f>
        <v>0</v>
      </c>
    </row>
    <row r="11" spans="1:7">
      <c r="A11" s="1" t="s">
        <v>9</v>
      </c>
      <c r="B11" s="2">
        <f>D6*5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Projections</vt:lpstr>
      <vt:lpstr>Data Room 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2026-02-12T19:58:17Z</dcterms:created>
  <dcterms:modified xsi:type="dcterms:W3CDTF">2026-02-12T19:58:17Z</dcterms:modified>
</cp:coreProperties>
</file>